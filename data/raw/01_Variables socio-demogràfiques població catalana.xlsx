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rracru/projects/2026/surveys_cat/data/raw/"/>
    </mc:Choice>
  </mc:AlternateContent>
  <xr:revisionPtr revIDLastSave="0" documentId="13_ncr:1_{97A41631-FFF1-A34E-8E52-058A3224F526}" xr6:coauthVersionLast="47" xr6:coauthVersionMax="47" xr10:uidLastSave="{00000000-0000-0000-0000-000000000000}"/>
  <bookViews>
    <workbookView xWindow="15160" yWindow="5840" windowWidth="30240" windowHeight="18880" activeTab="4" xr2:uid="{7B6D6825-6BDD-7B42-8EAE-5922F66F571C}"/>
  </bookViews>
  <sheets>
    <sheet name="Sexe" sheetId="1" r:id="rId1"/>
    <sheet name="Provinces" sheetId="6" r:id="rId2"/>
    <sheet name="Edat" sheetId="2" r:id="rId3"/>
    <sheet name="Ingressos" sheetId="5" r:id="rId4"/>
    <sheet name="Municipi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B4" i="3"/>
  <c r="D5" i="3" s="1"/>
  <c r="C3" i="5"/>
  <c r="B3" i="5" s="1"/>
  <c r="H2" i="2"/>
  <c r="L2" i="2"/>
  <c r="B2" i="1"/>
  <c r="D3" i="1" s="1"/>
  <c r="G2" i="2"/>
  <c r="F2" i="2"/>
  <c r="E2" i="2"/>
  <c r="D2" i="2"/>
  <c r="C2" i="2"/>
  <c r="C5" i="3"/>
  <c r="E5" i="3" l="1"/>
  <c r="B2" i="2"/>
  <c r="G3" i="2" s="1"/>
  <c r="C3" i="1"/>
  <c r="E3" i="2"/>
  <c r="D4" i="5"/>
  <c r="E4" i="5"/>
  <c r="F4" i="5"/>
  <c r="G4" i="5"/>
  <c r="H4" i="5"/>
  <c r="I4" i="5"/>
  <c r="C4" i="5"/>
  <c r="B4" i="2"/>
  <c r="E5" i="2" s="1"/>
  <c r="B4" i="1"/>
  <c r="D5" i="1" s="1"/>
  <c r="D2" i="5"/>
  <c r="E2" i="5"/>
  <c r="F2" i="5" s="1"/>
  <c r="D3" i="2" l="1"/>
  <c r="C3" i="2"/>
  <c r="H3" i="2"/>
  <c r="F3" i="2"/>
  <c r="D5" i="2"/>
  <c r="C5" i="2"/>
  <c r="H5" i="2"/>
  <c r="G5" i="2"/>
  <c r="F5" i="2"/>
  <c r="C5" i="1"/>
  <c r="F5" i="1"/>
  <c r="E5" i="1"/>
  <c r="G2" i="5"/>
  <c r="H2" i="5" s="1"/>
  <c r="D3" i="3"/>
  <c r="E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tc={96E120CC-7A0B-DD49-9619-92516E585B60}</author>
    <author>tc={9E708E78-FC04-184E-90C6-F87951DE9DEC}</author>
  </authors>
  <commentList>
    <comment ref="H1" authorId="0" shapeId="0" xr:uid="{96E120CC-7A0B-DD49-9619-92516E585B60}">
      <text>
        <t>[Threaded comment]
Your version of Excel allows you to read this threaded comment; however, any edits to it will get removed if the file is opened in a newer version of Excel. Learn more: https://go.microsoft.com/fwlink/?linkid=870924
Comment:
    Fins a 75 anys (inclòs). Es podria baixar a 74, o fins i tot menys si ajuda a descartar menys respostes</t>
      </text>
    </comment>
    <comment ref="L1" authorId="1" shapeId="0" xr:uid="{9E708E78-FC04-184E-90C6-F87951DE9DEC}">
      <text>
        <t>[Threaded comment]
Your version of Excel allows you to read this threaded comment; however, any edits to it will get removed if the file is opened in a newer version of Excel. Learn more: https://go.microsoft.com/fwlink/?linkid=870924
Comment:
    Ara mateix està comptat fins a 80 anys (inclòs)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tc={32333F8B-C2EA-8F4A-81BB-114D7383EB2C}</author>
  </authors>
  <commentList>
    <comment ref="C3" authorId="0" shapeId="0" xr:uid="{32333F8B-C2EA-8F4A-81BB-114D7383EB2C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Inclou R21_sense_ingressos + R21_menys_11000</t>
      </text>
    </comment>
  </commentList>
</comments>
</file>

<file path=xl/sharedStrings.xml><?xml version="1.0" encoding="utf-8"?>
<sst xmlns="http://schemas.openxmlformats.org/spreadsheetml/2006/main" count="75" uniqueCount="38">
  <si>
    <t>https://www.idescat.cat/pub/?id=ep&amp;n=9122</t>
  </si>
  <si>
    <t>Homes</t>
  </si>
  <si>
    <t>Dones</t>
  </si>
  <si>
    <t>16-24</t>
  </si>
  <si>
    <t>25-34</t>
  </si>
  <si>
    <t>35-44</t>
  </si>
  <si>
    <t>45-54</t>
  </si>
  <si>
    <t>55-64</t>
  </si>
  <si>
    <t>+65</t>
  </si>
  <si>
    <t>https://www.idescat.cat/pub/?id=ep&amp;n=9123</t>
  </si>
  <si>
    <t>&lt;11.000</t>
  </si>
  <si>
    <t>11.000-16.999</t>
  </si>
  <si>
    <t>17.000-24.999</t>
  </si>
  <si>
    <t>25.000-35.999</t>
  </si>
  <si>
    <t>36.000-49.999</t>
  </si>
  <si>
    <t>50.000+</t>
  </si>
  <si>
    <t>Font</t>
  </si>
  <si>
    <t>No binari</t>
  </si>
  <si>
    <t>No respon</t>
  </si>
  <si>
    <t>n/a</t>
  </si>
  <si>
    <r>
      <rPr>
        <sz val="12"/>
        <color theme="1"/>
        <rFont val="Aptos Narrow (Body)"/>
      </rPr>
      <t xml:space="preserve">Gràfic 2 </t>
    </r>
    <r>
      <rPr>
        <u/>
        <sz val="12"/>
        <color theme="10"/>
        <rFont val="Aptos Narrow"/>
        <family val="2"/>
        <scheme val="minor"/>
      </rPr>
      <t>https://observatoritreball.gencat.cat/web/.content/generic/documents/salaris/arxius/Els-salaris-a-Catalunya.-Any-2022.pdf</t>
    </r>
  </si>
  <si>
    <r>
      <rPr>
        <sz val="12"/>
        <color theme="1"/>
        <rFont val="Aptos Narrow (Body)"/>
      </rPr>
      <t xml:space="preserve">Classificació extreta de l’estudi d’IDESCAT </t>
    </r>
    <r>
      <rPr>
        <u/>
        <sz val="12"/>
        <color theme="10"/>
        <rFont val="Aptos Narrow"/>
        <family val="2"/>
        <scheme val="minor"/>
      </rPr>
      <t>https://govern.cat/salapremsa/notes-premsa/639042/lestadistica-del-grau-durbanitzacio-classifica-767-percent-del-territori-catalunya-area-rural-resideix-89-percent-poblacio</t>
    </r>
  </si>
  <si>
    <t>Excel “IDESCAT rural / urbà” https://www.idescat.cat/novetats/?id=4995&amp;utm_source</t>
  </si>
  <si>
    <t>S2 /2025</t>
  </si>
  <si>
    <t>Urbà</t>
  </si>
  <si>
    <t>Semidens</t>
  </si>
  <si>
    <t>Rural</t>
  </si>
  <si>
    <t>Mostra enquesta (1222 respostes. 26/01/26)</t>
  </si>
  <si>
    <t>Mostra</t>
  </si>
  <si>
    <t>Població</t>
  </si>
  <si>
    <t>Total</t>
  </si>
  <si>
    <t>!! Si veiem que el quota sampling descarta masses respostes, podria arribar a eliminar aquesta variable, i comentar que es tracta d'una mostra més aviat enriquida</t>
  </si>
  <si>
    <t>Barcelona</t>
  </si>
  <si>
    <t>Girona</t>
  </si>
  <si>
    <t>Lleida</t>
  </si>
  <si>
    <t>Tarragona</t>
  </si>
  <si>
    <t>https://www.idescat.cat/pub/?id=ep&amp;n=9122&amp;geo=prov</t>
  </si>
  <si>
    <t>Mostra enquesta (1376 respostes. 08/02/26)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</si>
</sst>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 (Body)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3" fontId="0" fillId="0" borderId="0" xfId="0" applyNumberFormat="1" applyAlignment="1">
      <alignment horizontal="left"/>
    </xf>
    <xf numFmtId="0" fontId="3" fillId="0" borderId="0" xfId="2"/>
    <xf numFmtId="0" fontId="3" fillId="0" borderId="0" xfId="2" applyAlignment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9" fontId="0" fillId="0" borderId="2" xfId="1" applyFont="1" applyBorder="1" applyAlignment="1">
      <alignment horizontal="left"/>
    </xf>
    <xf numFmtId="164" fontId="0" fillId="0" borderId="2" xfId="1" applyNumberFormat="1" applyFont="1" applyBorder="1" applyAlignment="1">
      <alignment horizontal="left"/>
    </xf>
    <xf numFmtId="0" fontId="0" fillId="0" borderId="2" xfId="0" applyBorder="1"/>
    <xf numFmtId="0" fontId="4" fillId="0" borderId="1" xfId="0" quotePrefix="1" applyFont="1" applyBorder="1" applyAlignment="1">
      <alignment horizontal="left"/>
    </xf>
    <xf numFmtId="9" fontId="0" fillId="0" borderId="3" xfId="1" applyFont="1" applyBorder="1" applyAlignment="1">
      <alignment horizontal="left"/>
    </xf>
    <xf numFmtId="0" fontId="3" fillId="0" borderId="2" xfId="2" applyBorder="1"/>
    <xf numFmtId="3" fontId="6" fillId="0" borderId="0" xfId="0" applyNumberFormat="1" applyFont="1" applyAlignment="1">
      <alignment horizontal="left"/>
    </xf>
    <xf numFmtId="0" fontId="7" fillId="0" borderId="0" xfId="2" applyFont="1"/>
    <xf numFmtId="9" fontId="6" fillId="0" borderId="2" xfId="1" applyFont="1" applyBorder="1" applyAlignment="1">
      <alignment horizontal="left"/>
    </xf>
    <xf numFmtId="164" fontId="6" fillId="0" borderId="2" xfId="1" applyNumberFormat="1" applyFont="1" applyBorder="1" applyAlignment="1">
      <alignment horizontal="left"/>
    </xf>
    <xf numFmtId="0" fontId="6" fillId="0" borderId="2" xfId="0" applyFont="1" applyBorder="1"/>
    <xf numFmtId="0" fontId="4" fillId="0" borderId="0" xfId="0" applyFont="1"/>
    <xf numFmtId="0" fontId="0" fillId="0" borderId="1" xfId="0" applyBorder="1"/>
    <xf numFmtId="0" fontId="4" fillId="0" borderId="3" xfId="0" applyFont="1" applyBorder="1"/>
    <xf numFmtId="0" fontId="8" fillId="0" borderId="0" xfId="0" applyFont="1"/>
    <xf numFmtId="3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emma Morell Delgado" id="{ED062D3A-FC8B-B242-B022-99F522B21681}" userId="S::1626021@uab.cat::1c9fd5e9-804b-4038-9faa-80c1473d5f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5-27T16:04:39.87" personId="{ED062D3A-FC8B-B242-B022-99F522B21681}" id="{96E120CC-7A0B-DD49-9619-92516E585B60}">
    <text>Fins a 75 anys (inclòs). Es podria baixar a 74, o fins i tot menys si ajuda a descartar menys respostes</text>
  </threadedComment>
  <threadedComment ref="L1" dT="2025-05-27T16:04:39.87" personId="{ED062D3A-FC8B-B242-B022-99F522B21681}" id="{9E708E78-FC04-184E-90C6-F87951DE9DEC}">
    <text>Ara mateix està comptat fins a 80 anys (inclòs)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6-01-26T14:58:10.41" personId="{ED062D3A-FC8B-B242-B022-99F522B21681}" id="{32333F8B-C2EA-8F4A-81BB-114D7383EB2C}">
    <text>Inclou R21_sense_ingressos + R21_menys_11000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escat.cat/pub/?id=ep&amp;n=912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ww.idescat.cat/pub/?id=ep&amp;n=9123" TargetMode="Externa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observatoritreball.gencat.cat/web/.content/generic/documents/salaris/arxius/Els-salaris-a-Catalunya.-Any-2022.pdf" TargetMode="Externa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descat.cat/indicadors/?id=aec&amp;n=159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FE31-96E5-5046-8533-8AE22FC42437}">
  <dimension ref="A1:G10"/>
  <sheetViews>
    <sheetView zoomScale="158" workbookViewId="0">
      <selection activeCell="B11" sqref="B11"/>
    </sheetView>
  </sheetViews>
  <sheetFormatPr baseColWidth="10" defaultRowHeight="16" x14ac:dyDescent="0.2"/>
  <cols>
    <col min="7" max="7" width="43.33203125" customWidth="1"/>
  </cols>
  <sheetData>
    <row r="1" spans="1:7" ht="18" thickBot="1" x14ac:dyDescent="0.25">
      <c r="A1" s="18"/>
      <c r="B1" s="5" t="s">
        <v>30</v>
      </c>
      <c r="C1" s="5" t="s">
        <v>1</v>
      </c>
      <c r="D1" s="5" t="s">
        <v>2</v>
      </c>
      <c r="E1" s="5" t="s">
        <v>17</v>
      </c>
      <c r="F1" s="5" t="s">
        <v>18</v>
      </c>
      <c r="G1" s="5" t="s">
        <v>16</v>
      </c>
    </row>
    <row r="2" spans="1:7" x14ac:dyDescent="0.2">
      <c r="A2" s="17" t="s">
        <v>29</v>
      </c>
      <c r="B2" s="12">
        <f>C2+D2</f>
        <v>8154627</v>
      </c>
      <c r="C2" s="12">
        <v>4027066</v>
      </c>
      <c r="D2" s="12">
        <v>4127561</v>
      </c>
      <c r="E2" s="12" t="s">
        <v>19</v>
      </c>
      <c r="F2" s="12" t="s">
        <v>19</v>
      </c>
      <c r="G2" s="13" t="s">
        <v>0</v>
      </c>
    </row>
    <row r="3" spans="1:7" x14ac:dyDescent="0.2">
      <c r="A3" s="17" t="s">
        <v>29</v>
      </c>
      <c r="B3" s="14">
        <v>1</v>
      </c>
      <c r="C3" s="15">
        <f>C2/$B$2</f>
        <v>0.49383816083801257</v>
      </c>
      <c r="D3" s="15">
        <f>D2/$B$2</f>
        <v>0.50616183916198743</v>
      </c>
      <c r="E3" s="15" t="s">
        <v>19</v>
      </c>
      <c r="F3" s="15" t="s">
        <v>19</v>
      </c>
      <c r="G3" s="16" t="s">
        <v>23</v>
      </c>
    </row>
    <row r="4" spans="1:7" x14ac:dyDescent="0.2">
      <c r="A4" s="17" t="s">
        <v>28</v>
      </c>
      <c r="B4" s="1">
        <f>SUM(C4:F4)</f>
        <v>1222</v>
      </c>
      <c r="C4" s="1">
        <v>392</v>
      </c>
      <c r="D4" s="1">
        <v>815</v>
      </c>
      <c r="E4" s="1">
        <v>7</v>
      </c>
      <c r="F4" s="1">
        <v>8</v>
      </c>
      <c r="G4" t="s">
        <v>27</v>
      </c>
    </row>
    <row r="5" spans="1:7" x14ac:dyDescent="0.2">
      <c r="A5" s="17" t="s">
        <v>28</v>
      </c>
      <c r="B5" s="6">
        <v>1</v>
      </c>
      <c r="C5" s="7">
        <f>C4/$B$4</f>
        <v>0.32078559738134205</v>
      </c>
      <c r="D5" s="7">
        <f t="shared" ref="D5:F5" si="0">D4/$B$4</f>
        <v>0.66693944353518819</v>
      </c>
      <c r="E5" s="7">
        <f t="shared" si="0"/>
        <v>5.7283142389525366E-3</v>
      </c>
      <c r="F5" s="7">
        <f t="shared" si="0"/>
        <v>6.5466448445171853E-3</v>
      </c>
      <c r="G5" s="8"/>
    </row>
    <row r="10" spans="1:7" x14ac:dyDescent="0.2">
      <c r="B10" s="2"/>
    </row>
  </sheetData>
  <conditionalFormatting sqref="B3:D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{4A10322C-24C6-8F42-A3AA-C0D2CFA46E3F}</x14:id>
        </ext>
      </extLst>
    </cfRule>
  </conditionalFormatting>
  <conditionalFormatting sqref="B5:D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{30313769-23FE-7B4A-8719-8AF5C24DA750}</x14:id>
        </ext>
      </extLst>
    </cfRule>
  </conditionalFormatting>
  <conditionalFormatting sqref="C3:F3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{F3E7AF05-A814-0240-9C73-3C80FF1BFC9D}</x14:id>
        </ext>
      </extLst>
    </cfRule>
  </conditionalFormatting>
  <conditionalFormatting sqref="C5:F5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{938513AD-4DD2-5A40-A1ED-95C0F495205C}</x14:id>
        </ext>
      </extLst>
    </cfRule>
  </conditionalFormatting>
  <hyperlinks>
    <hyperlink ref="G2" r:id="rId1" xr:uid="{DCE2040D-D425-344D-82DF-461FFEA31BA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10322C-24C6-8F42-A3AA-C0D2CFA46E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B3:D3</xm:sqref>
        </x14:conditionalFormatting>
        <x14:conditionalFormatting xmlns:xm="http://schemas.microsoft.com/office/excel/2006/main">
          <x14:cfRule type="dataBar" id="{30313769-23FE-7B4A-8719-8AF5C24DA75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B5:D5</xm:sqref>
        </x14:conditionalFormatting>
        <x14:conditionalFormatting xmlns:xm="http://schemas.microsoft.com/office/excel/2006/main">
          <x14:cfRule type="dataBar" id="{F3E7AF05-A814-0240-9C73-3C80FF1BFC9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C3:F3</xm:sqref>
        </x14:conditionalFormatting>
        <x14:conditionalFormatting xmlns:xm="http://schemas.microsoft.com/office/excel/2006/main">
          <x14:cfRule type="dataBar" id="{938513AD-4DD2-5A40-A1ED-95C0F495205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C5:F5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4C13-E5A7-7743-B7A9-585090848343}">
  <dimension ref="A1:H5"/>
  <sheetViews>
    <sheetView workbookViewId="0">
      <selection activeCell="K13" sqref="K13"/>
    </sheetView>
  </sheetViews>
  <sheetFormatPr baseColWidth="10" defaultRowHeight="16" x14ac:dyDescent="0.2"/>
  <sheetData>
    <row r="1" spans="1:8" x14ac:dyDescent="0.2">
      <c r="B1" t="s">
        <v>30</v>
      </c>
      <c r="C1" t="s">
        <v>32</v>
      </c>
      <c r="D1" t="s">
        <v>33</v>
      </c>
      <c r="E1" t="s">
        <v>34</v>
      </c>
      <c r="F1" t="s">
        <v>35</v>
      </c>
      <c r="G1" t="s">
        <v>18</v>
      </c>
      <c r="H1" t="s">
        <v>16</v>
      </c>
    </row>
    <row r="2" spans="1:8" x14ac:dyDescent="0.2">
      <c r="A2" t="s">
        <v>29</v>
      </c>
      <c r="B2" s="21">
        <v>8154627</v>
      </c>
      <c r="C2" s="21">
        <v>5975541</v>
      </c>
      <c r="D2" s="21">
        <v>836066</v>
      </c>
      <c r="E2" s="21">
        <v>461028</v>
      </c>
      <c r="F2" s="21">
        <v>881992</v>
      </c>
      <c r="G2" t="s">
        <v>19</v>
      </c>
      <c r="H2" t="s">
        <v>36</v>
      </c>
    </row>
    <row r="3" spans="1:8" x14ac:dyDescent="0.2">
      <c r="B3" s="22">
        <v>1</v>
      </c>
      <c r="C3" s="23">
        <v>0.73299999999999998</v>
      </c>
      <c r="D3" s="23">
        <v>0.10299999999999999</v>
      </c>
      <c r="E3" s="23">
        <v>5.7000000000000002E-2</v>
      </c>
      <c r="F3" s="23">
        <v>0.108</v>
      </c>
      <c r="G3" t="s">
        <v>19</v>
      </c>
      <c r="H3" t="s">
        <v>23</v>
      </c>
    </row>
    <row r="4" spans="1:8" x14ac:dyDescent="0.2">
      <c r="A4" t="s">
        <v>28</v>
      </c>
      <c r="B4" s="21">
        <v>1376</v>
      </c>
      <c r="C4" s="21">
        <v>1094</v>
      </c>
      <c r="D4">
        <v>110</v>
      </c>
      <c r="E4">
        <v>71</v>
      </c>
      <c r="F4">
        <v>98</v>
      </c>
      <c r="G4">
        <v>3</v>
      </c>
      <c r="H4" t="s">
        <v>37</v>
      </c>
    </row>
    <row r="5" spans="1:8" x14ac:dyDescent="0.2">
      <c r="B5" s="22">
        <v>1</v>
      </c>
      <c r="C5" s="23">
        <v>0.79500000000000004</v>
      </c>
      <c r="D5" s="23">
        <v>0.08</v>
      </c>
      <c r="E5" s="23">
        <v>5.1999999999999998E-2</v>
      </c>
      <c r="F5" s="23">
        <v>7.0999999999999994E-2</v>
      </c>
      <c r="G5" s="23">
        <v>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75C6-F4C1-FA4C-B8FB-1A1B50B9A4FD}">
  <dimension ref="A1:L8"/>
  <sheetViews>
    <sheetView zoomScale="158" zoomScaleNormal="100" workbookViewId="0">
      <selection activeCell="B13" sqref="B13"/>
    </sheetView>
  </sheetViews>
  <sheetFormatPr baseColWidth="10" defaultRowHeight="16" x14ac:dyDescent="0.2"/>
  <cols>
    <col min="9" max="9" width="43.33203125" customWidth="1"/>
  </cols>
  <sheetData>
    <row r="1" spans="1:12" ht="18" thickBot="1" x14ac:dyDescent="0.25">
      <c r="A1" s="18"/>
      <c r="B1" s="5" t="s">
        <v>30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9" t="s">
        <v>8</v>
      </c>
      <c r="I1" s="5" t="s">
        <v>16</v>
      </c>
      <c r="L1" s="9" t="s">
        <v>8</v>
      </c>
    </row>
    <row r="2" spans="1:12" x14ac:dyDescent="0.2">
      <c r="A2" s="17" t="s">
        <v>29</v>
      </c>
      <c r="B2" s="1">
        <f>SUM(C2:H2)</f>
        <v>6257154</v>
      </c>
      <c r="C2" s="1">
        <f>92791+93389+93207+94513+94842+94714+93774+93685+96009</f>
        <v>846924</v>
      </c>
      <c r="D2" s="1">
        <f>97523+97000+98037+99197+99620+101049+102427+104118+104389+103860</f>
        <v>1007220</v>
      </c>
      <c r="E2" s="1">
        <f>104405+104930+105177+105328+107008+109289+111318+115106+119773+124599</f>
        <v>1106933</v>
      </c>
      <c r="F2" s="1">
        <f>129143+133588+137236+138660+139026+137738+134147+130533+127194+123778</f>
        <v>1331043</v>
      </c>
      <c r="G2" s="1">
        <f>120419+117140+115702+113760+110967+109861+106224+101025+97604+95558</f>
        <v>1088260</v>
      </c>
      <c r="H2" s="1">
        <f>94130+91945+89613+85234+80972+78060+75880+74700+71560+67577+67103</f>
        <v>876774</v>
      </c>
      <c r="I2" s="2" t="s">
        <v>9</v>
      </c>
      <c r="L2" s="1">
        <f>94130+91945+89613+85234+80972+78060+75880+74700+71560+67577+67103+69358+66941+60643+58702+56739</f>
        <v>1189157</v>
      </c>
    </row>
    <row r="3" spans="1:12" x14ac:dyDescent="0.2">
      <c r="A3" s="17" t="s">
        <v>29</v>
      </c>
      <c r="B3" s="6">
        <v>1</v>
      </c>
      <c r="C3" s="7">
        <f t="shared" ref="C3:H3" si="0">C2/$B$2</f>
        <v>0.13535290964550337</v>
      </c>
      <c r="D3" s="7">
        <f t="shared" si="0"/>
        <v>0.16097094621612318</v>
      </c>
      <c r="E3" s="7">
        <f t="shared" si="0"/>
        <v>0.17690678541714011</v>
      </c>
      <c r="F3" s="7">
        <f t="shared" si="0"/>
        <v>0.21272338830081536</v>
      </c>
      <c r="G3" s="7">
        <f t="shared" si="0"/>
        <v>0.17392252132519034</v>
      </c>
      <c r="H3" s="7">
        <f t="shared" si="0"/>
        <v>0.14012344909522764</v>
      </c>
      <c r="I3" s="8" t="s">
        <v>23</v>
      </c>
    </row>
    <row r="4" spans="1:12" x14ac:dyDescent="0.2">
      <c r="A4" s="17" t="s">
        <v>28</v>
      </c>
      <c r="B4" s="1">
        <f>SUM(C4:H4)</f>
        <v>1222</v>
      </c>
      <c r="C4" s="1">
        <v>108</v>
      </c>
      <c r="D4" s="1">
        <v>333</v>
      </c>
      <c r="E4" s="1">
        <v>219</v>
      </c>
      <c r="F4" s="1">
        <v>230</v>
      </c>
      <c r="G4" s="1">
        <v>224</v>
      </c>
      <c r="H4" s="1">
        <v>108</v>
      </c>
      <c r="I4" t="s">
        <v>27</v>
      </c>
    </row>
    <row r="5" spans="1:12" x14ac:dyDescent="0.2">
      <c r="A5" s="17" t="s">
        <v>28</v>
      </c>
      <c r="B5" s="6">
        <v>1</v>
      </c>
      <c r="C5" s="7">
        <f>C4/$B$4</f>
        <v>8.8379705400982E-2</v>
      </c>
      <c r="D5" s="7">
        <f t="shared" ref="D5:H5" si="1">D4/$B$4</f>
        <v>0.2725040916530278</v>
      </c>
      <c r="E5" s="7">
        <f t="shared" si="1"/>
        <v>0.17921440261865793</v>
      </c>
      <c r="F5" s="7">
        <f t="shared" si="1"/>
        <v>0.18821603927986907</v>
      </c>
      <c r="G5" s="7">
        <f t="shared" si="1"/>
        <v>0.18330605564648117</v>
      </c>
      <c r="H5" s="7">
        <f t="shared" si="1"/>
        <v>8.8379705400982E-2</v>
      </c>
      <c r="I5" s="8"/>
    </row>
    <row r="8" spans="1:12" x14ac:dyDescent="0.2">
      <c r="B8" s="2"/>
    </row>
  </sheetData>
  <conditionalFormatting sqref="B3:H3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{5B6F8BAF-5F14-4449-A68A-7D439691FAF0}</x14:id>
        </ext>
      </extLst>
    </cfRule>
  </conditionalFormatting>
  <conditionalFormatting sqref="B5:H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{F594B088-F563-054B-BA57-0F4DE4D870D7}</x14:id>
        </ext>
      </extLst>
    </cfRule>
  </conditionalFormatting>
  <conditionalFormatting sqref="C3:H3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{D0E74DA4-17CC-1B46-94A8-CF30BC0C3975}</x14:id>
        </ext>
      </extLst>
    </cfRule>
  </conditionalFormatting>
  <conditionalFormatting sqref="C5:H5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{894AACCF-96D1-CA4E-B15D-84793ADD6162}</x14:id>
        </ext>
      </extLst>
    </cfRule>
  </conditionalFormatting>
  <hyperlinks>
    <hyperlink ref="I2" r:id="rId1" xr:uid="{3CBC5F38-A193-4E49-868B-5CC3E026A125}"/>
  </hyperlinks>
  <pageMargins left="0.7" right="0.7" top="0.75" bottom="0.75" header="0.3" footer="0.3"/>
  <ignoredErrors>
    <ignoredError sqref="C2:F2" formula="1"/>
  </ignoredErrors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6F8BAF-5F14-4449-A68A-7D439691FA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B3:H3</xm:sqref>
        </x14:conditionalFormatting>
        <x14:conditionalFormatting xmlns:xm="http://schemas.microsoft.com/office/excel/2006/main">
          <x14:cfRule type="dataBar" id="{F594B088-F563-054B-BA57-0F4DE4D870D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B5:H5</xm:sqref>
        </x14:conditionalFormatting>
        <x14:conditionalFormatting xmlns:xm="http://schemas.microsoft.com/office/excel/2006/main">
          <x14:cfRule type="dataBar" id="{D0E74DA4-17CC-1B46-94A8-CF30BC0C39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C3:H3</xm:sqref>
        </x14:conditionalFormatting>
        <x14:conditionalFormatting xmlns:xm="http://schemas.microsoft.com/office/excel/2006/main">
          <x14:cfRule type="dataBar" id="{894AACCF-96D1-CA4E-B15D-84793ADD616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C5:H5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2ACE-782C-0C42-8E72-00FC6044A8B6}">
  <dimension ref="A1:J7"/>
  <sheetViews>
    <sheetView zoomScale="177" workbookViewId="0">
      <selection activeCell="B12" sqref="B12"/>
    </sheetView>
  </sheetViews>
  <sheetFormatPr baseColWidth="10" defaultRowHeight="16" x14ac:dyDescent="0.2"/>
  <cols>
    <col min="3" max="9" width="10.83203125" style="4"/>
    <col min="10" max="10" width="43.33203125" customWidth="1"/>
  </cols>
  <sheetData>
    <row r="1" spans="1:10" ht="35" thickBot="1" x14ac:dyDescent="0.25">
      <c r="A1" s="18"/>
      <c r="B1" s="5" t="s">
        <v>30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18</v>
      </c>
      <c r="J1" s="5" t="s">
        <v>16</v>
      </c>
    </row>
    <row r="2" spans="1:10" x14ac:dyDescent="0.2">
      <c r="A2" s="19" t="s">
        <v>29</v>
      </c>
      <c r="B2" s="10">
        <v>1</v>
      </c>
      <c r="C2" s="10">
        <v>0.1</v>
      </c>
      <c r="D2" s="10">
        <f>25%-C2</f>
        <v>0.15</v>
      </c>
      <c r="E2" s="10">
        <f>50%-D2-C2</f>
        <v>0.24999999999999997</v>
      </c>
      <c r="F2" s="10">
        <f>75%-E2-D2-C2</f>
        <v>0.24999999999999997</v>
      </c>
      <c r="G2" s="10">
        <f>90%-F2-E2-D2-C2</f>
        <v>0.15</v>
      </c>
      <c r="H2" s="10">
        <f>100%-SUM(C2:G2)</f>
        <v>9.9999999999999978E-2</v>
      </c>
      <c r="I2" s="10" t="s">
        <v>19</v>
      </c>
      <c r="J2" s="11" t="s">
        <v>20</v>
      </c>
    </row>
    <row r="3" spans="1:10" x14ac:dyDescent="0.2">
      <c r="A3" s="17" t="s">
        <v>28</v>
      </c>
      <c r="B3" s="4">
        <f>SUM(C3:I3)</f>
        <v>1222</v>
      </c>
      <c r="C3" s="4">
        <f>54+67</f>
        <v>121</v>
      </c>
      <c r="D3" s="4">
        <v>70</v>
      </c>
      <c r="E3" s="4">
        <v>201</v>
      </c>
      <c r="F3" s="4">
        <v>347</v>
      </c>
      <c r="G3" s="4">
        <v>235</v>
      </c>
      <c r="H3" s="4">
        <v>178</v>
      </c>
      <c r="I3" s="4">
        <v>70</v>
      </c>
      <c r="J3" t="s">
        <v>27</v>
      </c>
    </row>
    <row r="4" spans="1:10" x14ac:dyDescent="0.2">
      <c r="A4" s="17" t="s">
        <v>28</v>
      </c>
      <c r="B4" s="6">
        <v>1</v>
      </c>
      <c r="C4" s="6">
        <f>C3/$B$3</f>
        <v>9.9018003273322427E-2</v>
      </c>
      <c r="D4" s="6">
        <f t="shared" ref="D4:I4" si="0">D3/$B$3</f>
        <v>5.7283142389525366E-2</v>
      </c>
      <c r="E4" s="6">
        <f t="shared" si="0"/>
        <v>0.16448445171849427</v>
      </c>
      <c r="F4" s="6">
        <f t="shared" si="0"/>
        <v>0.28396072013093288</v>
      </c>
      <c r="G4" s="6">
        <f t="shared" si="0"/>
        <v>0.19230769230769232</v>
      </c>
      <c r="H4" s="6">
        <f t="shared" si="0"/>
        <v>0.14566284779050737</v>
      </c>
      <c r="I4" s="6">
        <f t="shared" si="0"/>
        <v>5.7283142389525366E-2</v>
      </c>
      <c r="J4" s="8"/>
    </row>
    <row r="6" spans="1:10" x14ac:dyDescent="0.2">
      <c r="A6" s="20" t="s">
        <v>31</v>
      </c>
    </row>
    <row r="7" spans="1:10" x14ac:dyDescent="0.2">
      <c r="B7" s="2"/>
    </row>
  </sheetData>
  <conditionalFormatting sqref="B2:H2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{3EFE66E0-BDE9-D848-93F0-8F21EEAA66E5}</x14:id>
        </ext>
      </extLst>
    </cfRule>
  </conditionalFormatting>
  <conditionalFormatting sqref="B4:I4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{D7F12006-907A-4141-AC7F-6FF047141122}</x14:id>
        </ext>
      </extLst>
    </cfRule>
  </conditionalFormatting>
  <conditionalFormatting sqref="C2:I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{795A9917-C51F-4D47-82CE-76E1730BAF69}</x14:id>
        </ext>
      </extLst>
    </cfRule>
  </conditionalFormatting>
  <hyperlinks>
    <hyperlink ref="J2" r:id="rId1" display="https://observatoritreball.gencat.cat/web/.content/generic/documents/salaris/arxius/Els-salaris-a-Catalunya.-Any-2022.pdf" xr:uid="{8E71ABF8-8C6F-BF4A-9B1A-F8631D90217E}"/>
  </hyperlinks>
  <pageMargins left="0.7" right="0.7" top="0.75" bottom="0.75" header="0.3" footer="0.3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FE66E0-BDE9-D848-93F0-8F21EEAA66E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B2:H2</xm:sqref>
        </x14:conditionalFormatting>
        <x14:conditionalFormatting xmlns:xm="http://schemas.microsoft.com/office/excel/2006/main">
          <x14:cfRule type="dataBar" id="{D7F12006-907A-4141-AC7F-6FF04714112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B4:I4</xm:sqref>
        </x14:conditionalFormatting>
        <x14:conditionalFormatting xmlns:xm="http://schemas.microsoft.com/office/excel/2006/main">
          <x14:cfRule type="dataBar" id="{795A9917-C51F-4D47-82CE-76E1730BAF6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C2:I2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F457B-B3A8-9E44-8362-B31D029A2E06}">
  <dimension ref="A1:F10"/>
  <sheetViews>
    <sheetView tabSelected="1" zoomScale="191" workbookViewId="0">
      <selection activeCell="E8" sqref="E8"/>
    </sheetView>
  </sheetViews>
  <sheetFormatPr baseColWidth="10" defaultRowHeight="16" x14ac:dyDescent="0.2"/>
  <cols>
    <col min="4" max="4" width="12.1640625" customWidth="1"/>
    <col min="6" max="6" width="58.1640625" customWidth="1"/>
  </cols>
  <sheetData>
    <row r="1" spans="1:6" ht="18" thickBot="1" x14ac:dyDescent="0.25">
      <c r="A1" s="18"/>
      <c r="B1" s="5" t="s">
        <v>30</v>
      </c>
      <c r="C1" s="5" t="s">
        <v>24</v>
      </c>
      <c r="D1" s="5" t="s">
        <v>25</v>
      </c>
      <c r="E1" s="5" t="s">
        <v>26</v>
      </c>
      <c r="F1" s="5" t="s">
        <v>16</v>
      </c>
    </row>
    <row r="2" spans="1:6" x14ac:dyDescent="0.2">
      <c r="A2" s="17" t="s">
        <v>29</v>
      </c>
      <c r="B2" s="21">
        <v>8012231</v>
      </c>
      <c r="C2" s="21">
        <v>4935497</v>
      </c>
      <c r="D2" s="21">
        <v>2384146</v>
      </c>
      <c r="E2" s="21">
        <v>692588</v>
      </c>
      <c r="F2" s="2" t="s">
        <v>21</v>
      </c>
    </row>
    <row r="3" spans="1:6" x14ac:dyDescent="0.2">
      <c r="A3" s="17" t="s">
        <v>29</v>
      </c>
      <c r="B3" s="6">
        <v>1</v>
      </c>
      <c r="C3" s="7">
        <f>C2/$B$2</f>
        <v>0.6159953451167347</v>
      </c>
      <c r="D3" s="7">
        <f t="shared" ref="D3:E3" si="0">D2/$B$2</f>
        <v>0.29756331289000532</v>
      </c>
      <c r="E3" s="7">
        <f t="shared" si="0"/>
        <v>8.6441341993260049E-2</v>
      </c>
      <c r="F3" s="8" t="s">
        <v>22</v>
      </c>
    </row>
    <row r="4" spans="1:6" x14ac:dyDescent="0.2">
      <c r="A4" s="17" t="s">
        <v>28</v>
      </c>
      <c r="B4" s="1">
        <f>SUM(C4:E4)</f>
        <v>1222</v>
      </c>
      <c r="C4" s="1">
        <v>761</v>
      </c>
      <c r="D4" s="1">
        <v>376</v>
      </c>
      <c r="E4" s="1">
        <v>85</v>
      </c>
      <c r="F4" t="s">
        <v>27</v>
      </c>
    </row>
    <row r="5" spans="1:6" x14ac:dyDescent="0.2">
      <c r="A5" s="17" t="s">
        <v>28</v>
      </c>
      <c r="B5" s="6">
        <v>1</v>
      </c>
      <c r="C5" s="7">
        <f>C4/$B$4</f>
        <v>0.62274959083469716</v>
      </c>
      <c r="D5" s="7">
        <f t="shared" ref="D5:E5" si="1">D4/$B$4</f>
        <v>0.30769230769230771</v>
      </c>
      <c r="E5" s="7">
        <f t="shared" si="1"/>
        <v>6.9558101472995085E-2</v>
      </c>
      <c r="F5" s="8"/>
    </row>
    <row r="8" spans="1:6" x14ac:dyDescent="0.2">
      <c r="B8" s="2"/>
    </row>
    <row r="10" spans="1:6" x14ac:dyDescent="0.2">
      <c r="B10" s="3"/>
    </row>
  </sheetData>
  <conditionalFormatting sqref="B3:E3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{4196A45F-AB34-A642-B05C-C85DB2BB0D5B}</x14:id>
        </ext>
      </extLst>
    </cfRule>
  </conditionalFormatting>
  <conditionalFormatting sqref="B5:E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{234FC753-976D-584D-98E5-8C0AFAB3865E}</x14:id>
        </ext>
      </extLst>
    </cfRule>
  </conditionalFormatting>
  <conditionalFormatting sqref="C3:E3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{E9E9B417-0230-4B4A-910F-3C2AF7132E6F}</x14:id>
        </ext>
      </extLst>
    </cfRule>
  </conditionalFormatting>
  <conditionalFormatting sqref="C5:E5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{EBFDFC58-146D-8C41-90FD-E574154E5C6D}</x14:id>
        </ext>
      </extLst>
    </cfRule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{F4A24642-00FB-B84D-AE69-A39DFC90CB8D}</x14:id>
        </ext>
      </extLst>
    </cfRule>
  </conditionalFormatting>
  <hyperlinks>
    <hyperlink ref="F2" r:id="rId1" display="https://www.idescat.cat/indicadors/?id=aec&amp;n=15903" xr:uid="{B34E3C55-E829-7D43-A046-CD13295C56AA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96A45F-AB34-A642-B05C-C85DB2BB0D5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B3:E3</xm:sqref>
        </x14:conditionalFormatting>
        <x14:conditionalFormatting xmlns:xm="http://schemas.microsoft.com/office/excel/2006/main">
          <x14:cfRule type="dataBar" id="{234FC753-976D-584D-98E5-8C0AFAB3865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B5:E5</xm:sqref>
        </x14:conditionalFormatting>
        <x14:conditionalFormatting xmlns:xm="http://schemas.microsoft.com/office/excel/2006/main">
          <x14:cfRule type="dataBar" id="{E9E9B417-0230-4B4A-910F-3C2AF7132E6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C3:E3</xm:sqref>
        </x14:conditionalFormatting>
        <x14:conditionalFormatting xmlns:xm="http://schemas.microsoft.com/office/excel/2006/main">
          <x14:cfRule type="dataBar" id="{EBFDFC58-146D-8C41-90FD-E574154E5C6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F4A24642-00FB-B84D-AE69-A39DFC90CB8D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C5:E5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Sexe</vt:lpstr>
      <vt:lpstr>Provinces</vt:lpstr>
      <vt:lpstr>Edat</vt:lpstr>
      <vt:lpstr>Ingressos</vt:lpstr>
      <vt:lpstr>Municipis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Gemma Morell Delgado</dc:creator>
  <cp:lastModifiedBy>URRACA Ruben (JRC-ISPRA)</cp:lastModifiedBy>
  <dcterms:created xsi:type="dcterms:W3CDTF">2025-05-27T15:43:05Z</dcterms:created>
  <dcterms:modified xsi:type="dcterms:W3CDTF">2026-03-09T17:41:12Z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2026-01-28T16:39:44Z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aa51d569-4980-4dab-9f70-af0fb6b784d9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50, 3, 0, 1</vt:lpwstr>
  </property>
</Properties>
</file>